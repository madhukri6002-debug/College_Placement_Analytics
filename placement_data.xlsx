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5f9e85dc304378" /><Relationship Type="http://schemas.openxmlformats.org/package/2006/relationships/metadata/core-properties" Target="/docProps/core.xml" Id="Rfaddddbeee3347a5" /><Relationship Type="http://schemas.openxmlformats.org/officeDocument/2006/relationships/extended-properties" Target="/docProps/app.xml" Id="Rfe7530aad9bf4d95" /><Relationship Type="http://schemas.openxmlformats.org/officeDocument/2006/relationships/custom-properties" Target="/docProps/custom.xml" Id="R999f9afc18564683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tudent Data" sheetId="2" r:id="Rc3fa99ad663f4d08"/>
    <x:sheet name="Branch Summary" sheetId="3" r:id="Rb62de18eee524a23"/>
    <x:sheet name="Top Recruiters" sheetId="4" r:id="R43a43e1c919747e4"/>
    <x:sheet name="Overall Stats" sheetId="5" r:id="Rf1005bf9695e40c7"/>
  </x:sheets>
  <x:calcPr fullCalcOnLoad="1"/>
</x:workbook>
</file>

<file path=xl/styles.xml><?xml version="1.0" encoding="utf-8"?>
<x:styleSheet xmlns:x="http://schemas.openxmlformats.org/spreadsheetml/2006/main">
  <x:numFmts count="1">
    <x:numFmt numFmtId="164" formatCode="0.0"/>
  </x:numFmts>
  <x:fonts count="2">
    <x:font>
      <x:sz val="11"/>
      <x:name val="Calibri"/>
    </x:font>
    <x:font>
      <x:b/>
      <x:sz val="1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2EFD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/>
    <x:xf numFmtId="0" fontId="1" fillId="2" borderId="0" applyFont="1" applyFill="1"/>
    <x:xf numFmtId="0" fontId="1" fillId="3" borderId="0" applyFont="1" applyFill="1"/>
    <x:xf numFmtId="2" fontId="1" fillId="3" borderId="0" applyNumberFormat="1" applyFont="1" applyFill="1"/>
    <x:xf numFmtId="164" fontId="0" fillId="0" borderId="0" applyNumberFormat="1"/>
    <x:xf numFmtId="2" fontId="0" fillId="0" borderId="0" applyNumberFormat="1"/>
    <x:xf numFmtId="164" fontId="1" fillId="3" borderId="0" applyNumberFormat="1" applyFont="1" applyFill="1"/>
    <x:xf numFmtId="0" fontId="1" fillId="0" borderId="0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1.xml" Id="Rb65250e6ab8c49be" /><Relationship Type="http://schemas.openxmlformats.org/officeDocument/2006/relationships/styles" Target="/xl/styles.xml" Id="Rbd07cc254e8545bc" /><Relationship Type="http://schemas.openxmlformats.org/officeDocument/2006/relationships/worksheet" Target="/xl/worksheets/sheet2.xml" Id="Rc3fa99ad663f4d08" /><Relationship Type="http://schemas.openxmlformats.org/officeDocument/2006/relationships/worksheet" Target="/xl/worksheets/sheet3.xml" Id="Rb62de18eee524a23" /><Relationship Type="http://schemas.openxmlformats.org/officeDocument/2006/relationships/worksheet" Target="/xl/worksheets/sheet4.xml" Id="R43a43e1c919747e4" /><Relationship Type="http://schemas.openxmlformats.org/officeDocument/2006/relationships/worksheet" Target="/xl/worksheets/sheet5.xml" Id="Rf1005bf9695e40c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2.xml><?xml version="1.0" encoding="utf-8"?>
<x:worksheet xmlns:x="http://schemas.openxmlformats.org/spreadsheetml/2006/main">
  <x:cols>
    <x:col min="1" max="1" width="12" customWidth="1"/>
    <x:col min="2" max="2" width="24" customWidth="1"/>
    <x:col min="3" max="3" width="8" customWidth="1"/>
    <x:col min="4" max="4" width="8" customWidth="1"/>
    <x:col min="5" max="5" width="10" customWidth="1"/>
    <x:col min="6" max="6" width="24" customWidth="1"/>
    <x:col min="7" max="7" width="14" customWidth="1"/>
    <x:col min="8" max="8" width="14" customWidth="1"/>
  </x:cols>
  <x:sheetData>
    <x:row r="1">
      <x:c r="A1" s="1" t="str">
        <x:v>Student ID</x:v>
      </x:c>
      <x:c r="B1" s="1" t="str">
        <x:v>Name</x:v>
      </x:c>
      <x:c r="C1" s="1" t="str">
        <x:v>Branch</x:v>
      </x:c>
      <x:c r="D1" s="1" t="str">
        <x:v>CGPA</x:v>
      </x:c>
      <x:c r="E1" s="1" t="str">
        <x:v>Placed</x:v>
      </x:c>
      <x:c r="F1" s="1" t="str">
        <x:v>Company</x:v>
      </x:c>
      <x:c r="G1" s="1" t="str">
        <x:v>Package (LPA)</x:v>
      </x:c>
      <x:c r="H1" s="1" t="str">
        <x:v>Offer Type</x:v>
      </x:c>
    </x:row>
    <x:row r="2">
      <x:c r="A2" t="str">
        <x:v>S001</x:v>
      </x:c>
      <x:c r="B2" t="str">
        <x:v>Aarav Sharma</x:v>
      </x:c>
      <x:c r="C2" t="str">
        <x:v>CSE</x:v>
      </x:c>
      <x:c r="D2">
        <x:v>9.2</x:v>
      </x:c>
      <x:c r="E2" t="str">
        <x:v>Yes</x:v>
      </x:c>
      <x:c r="F2" t="str">
        <x:v>TCS</x:v>
      </x:c>
      <x:c r="G2">
        <x:v>12.5</x:v>
      </x:c>
      <x:c r="H2" t="str">
        <x:v>On-Campus</x:v>
      </x:c>
    </x:row>
    <x:row r="3">
      <x:c r="A3" t="str">
        <x:v>S002</x:v>
      </x:c>
      <x:c r="B3" t="str">
        <x:v>Bhavna Patel</x:v>
      </x:c>
      <x:c r="C3" t="str">
        <x:v>CSE</x:v>
      </x:c>
      <x:c r="D3">
        <x:v>8.7</x:v>
      </x:c>
      <x:c r="E3" t="str">
        <x:v>Yes</x:v>
      </x:c>
      <x:c r="F3" t="str">
        <x:v>Infosys</x:v>
      </x:c>
      <x:c r="G3">
        <x:v>8</x:v>
      </x:c>
      <x:c r="H3" t="str">
        <x:v>On-Campus</x:v>
      </x:c>
    </x:row>
    <x:row r="4">
      <x:c r="A4" t="str">
        <x:v>S003</x:v>
      </x:c>
      <x:c r="B4" t="str">
        <x:v>Chetan Mehta</x:v>
      </x:c>
      <x:c r="C4" t="str">
        <x:v>CSE</x:v>
      </x:c>
      <x:c r="D4">
        <x:v>7.5</x:v>
      </x:c>
      <x:c r="E4" t="str">
        <x:v>Yes</x:v>
      </x:c>
      <x:c r="F4" t="str">
        <x:v>Wipro</x:v>
      </x:c>
      <x:c r="G4">
        <x:v>6.5</x:v>
      </x:c>
      <x:c r="H4" t="str">
        <x:v>On-Campus</x:v>
      </x:c>
    </x:row>
    <x:row r="5">
      <x:c r="A5" t="str">
        <x:v>S004</x:v>
      </x:c>
      <x:c r="B5" t="str">
        <x:v>Divya Nair</x:v>
      </x:c>
      <x:c r="C5" t="str">
        <x:v>CSE</x:v>
      </x:c>
      <x:c r="D5">
        <x:v>9.5</x:v>
      </x:c>
      <x:c r="E5" t="str">
        <x:v>Yes</x:v>
      </x:c>
      <x:c r="F5" t="str">
        <x:v>Google</x:v>
      </x:c>
      <x:c r="G5">
        <x:v>45</x:v>
      </x:c>
      <x:c r="H5" t="str">
        <x:v>Off-Campus</x:v>
      </x:c>
    </x:row>
    <x:row r="6">
      <x:c r="A6" t="str">
        <x:v>S005</x:v>
      </x:c>
      <x:c r="B6" t="str">
        <x:v>Eshan Gupta</x:v>
      </x:c>
      <x:c r="C6" t="str">
        <x:v>CSE</x:v>
      </x:c>
      <x:c r="D6">
        <x:v>6.8</x:v>
      </x:c>
      <x:c r="E6" t="str">
        <x:v>No</x:v>
      </x:c>
      <x:c r="F6" t="str">
        <x:v>—</x:v>
      </x:c>
      <x:c r="G6">
        <x:v>0</x:v>
      </x:c>
      <x:c r="H6" t="str">
        <x:v>Not Placed</x:v>
      </x:c>
    </x:row>
    <x:row r="7">
      <x:c r="A7" t="str">
        <x:v>S006</x:v>
      </x:c>
      <x:c r="B7" t="str">
        <x:v>Farida Khan</x:v>
      </x:c>
      <x:c r="C7" t="str">
        <x:v>CSE</x:v>
      </x:c>
      <x:c r="D7">
        <x:v>8.1</x:v>
      </x:c>
      <x:c r="E7" t="str">
        <x:v>Yes</x:v>
      </x:c>
      <x:c r="F7" t="str">
        <x:v>Accenture</x:v>
      </x:c>
      <x:c r="G7">
        <x:v>7.5</x:v>
      </x:c>
      <x:c r="H7" t="str">
        <x:v>On-Campus</x:v>
      </x:c>
    </x:row>
    <x:row r="8">
      <x:c r="A8" t="str">
        <x:v>S007</x:v>
      </x:c>
      <x:c r="B8" t="str">
        <x:v>Gaurav Singh</x:v>
      </x:c>
      <x:c r="C8" t="str">
        <x:v>CSE</x:v>
      </x:c>
      <x:c r="D8">
        <x:v>9</x:v>
      </x:c>
      <x:c r="E8" t="str">
        <x:v>Yes</x:v>
      </x:c>
      <x:c r="F8" t="str">
        <x:v>Microsoft</x:v>
      </x:c>
      <x:c r="G8">
        <x:v>38</x:v>
      </x:c>
      <x:c r="H8" t="str">
        <x:v>Off-Campus</x:v>
      </x:c>
    </x:row>
    <x:row r="9">
      <x:c r="A9" t="str">
        <x:v>S008</x:v>
      </x:c>
      <x:c r="B9" t="str">
        <x:v>Heena Joshi</x:v>
      </x:c>
      <x:c r="C9" t="str">
        <x:v>CSE</x:v>
      </x:c>
      <x:c r="D9">
        <x:v>7.2</x:v>
      </x:c>
      <x:c r="E9" t="str">
        <x:v>Yes</x:v>
      </x:c>
      <x:c r="F9" t="str">
        <x:v>Cognizant</x:v>
      </x:c>
      <x:c r="G9">
        <x:v>5.5</x:v>
      </x:c>
      <x:c r="H9" t="str">
        <x:v>On-Campus</x:v>
      </x:c>
    </x:row>
    <x:row r="10">
      <x:c r="A10" t="str">
        <x:v>S009</x:v>
      </x:c>
      <x:c r="B10" t="str">
        <x:v>Ishaan Verma</x:v>
      </x:c>
      <x:c r="C10" t="str">
        <x:v>CSE</x:v>
      </x:c>
      <x:c r="D10">
        <x:v>8.5</x:v>
      </x:c>
      <x:c r="E10" t="str">
        <x:v>Yes</x:v>
      </x:c>
      <x:c r="F10" t="str">
        <x:v>Amazon</x:v>
      </x:c>
      <x:c r="G10">
        <x:v>32</x:v>
      </x:c>
      <x:c r="H10" t="str">
        <x:v>Off-Campus</x:v>
      </x:c>
    </x:row>
    <x:row r="11">
      <x:c r="A11" t="str">
        <x:v>S010</x:v>
      </x:c>
      <x:c r="B11" t="str">
        <x:v>Jyoti Rao</x:v>
      </x:c>
      <x:c r="C11" t="str">
        <x:v>CSE</x:v>
      </x:c>
      <x:c r="D11">
        <x:v>6.5</x:v>
      </x:c>
      <x:c r="E11" t="str">
        <x:v>No</x:v>
      </x:c>
      <x:c r="F11" t="str">
        <x:v>—</x:v>
      </x:c>
      <x:c r="G11">
        <x:v>0</x:v>
      </x:c>
      <x:c r="H11" t="str">
        <x:v>Not Placed</x:v>
      </x:c>
    </x:row>
    <x:row r="12">
      <x:c r="A12" t="str">
        <x:v>S011</x:v>
      </x:c>
      <x:c r="B12" t="str">
        <x:v>Karan Malhotra</x:v>
      </x:c>
      <x:c r="C12" t="str">
        <x:v>ECE</x:v>
      </x:c>
      <x:c r="D12">
        <x:v>8.8</x:v>
      </x:c>
      <x:c r="E12" t="str">
        <x:v>Yes</x:v>
      </x:c>
      <x:c r="F12" t="str">
        <x:v>Samsung</x:v>
      </x:c>
      <x:c r="G12">
        <x:v>10</x:v>
      </x:c>
      <x:c r="H12" t="str">
        <x:v>On-Campus</x:v>
      </x:c>
    </x:row>
    <x:row r="13">
      <x:c r="A13" t="str">
        <x:v>S012</x:v>
      </x:c>
      <x:c r="B13" t="str">
        <x:v>Lavanya Iyer</x:v>
      </x:c>
      <x:c r="C13" t="str">
        <x:v>ECE</x:v>
      </x:c>
      <x:c r="D13">
        <x:v>7.6</x:v>
      </x:c>
      <x:c r="E13" t="str">
        <x:v>Yes</x:v>
      </x:c>
      <x:c r="F13" t="str">
        <x:v>Qualcomm</x:v>
      </x:c>
      <x:c r="G13">
        <x:v>14</x:v>
      </x:c>
      <x:c r="H13" t="str">
        <x:v>Off-Campus</x:v>
      </x:c>
    </x:row>
    <x:row r="14">
      <x:c r="A14" t="str">
        <x:v>S013</x:v>
      </x:c>
      <x:c r="B14" t="str">
        <x:v>Manish Kumar</x:v>
      </x:c>
      <x:c r="C14" t="str">
        <x:v>ECE</x:v>
      </x:c>
      <x:c r="D14">
        <x:v>6.9</x:v>
      </x:c>
      <x:c r="E14" t="str">
        <x:v>No</x:v>
      </x:c>
      <x:c r="F14" t="str">
        <x:v>—</x:v>
      </x:c>
      <x:c r="G14">
        <x:v>0</x:v>
      </x:c>
      <x:c r="H14" t="str">
        <x:v>Not Placed</x:v>
      </x:c>
    </x:row>
    <x:row r="15">
      <x:c r="A15" t="str">
        <x:v>S014</x:v>
      </x:c>
      <x:c r="B15" t="str">
        <x:v>Neha Sinha</x:v>
      </x:c>
      <x:c r="C15" t="str">
        <x:v>ECE</x:v>
      </x:c>
      <x:c r="D15">
        <x:v>9.1</x:v>
      </x:c>
      <x:c r="E15" t="str">
        <x:v>Yes</x:v>
      </x:c>
      <x:c r="F15" t="str">
        <x:v>Intel</x:v>
      </x:c>
      <x:c r="G15">
        <x:v>18</x:v>
      </x:c>
      <x:c r="H15" t="str">
        <x:v>Off-Campus</x:v>
      </x:c>
    </x:row>
    <x:row r="16">
      <x:c r="A16" t="str">
        <x:v>S015</x:v>
      </x:c>
      <x:c r="B16" t="str">
        <x:v>Om Prakash</x:v>
      </x:c>
      <x:c r="C16" t="str">
        <x:v>ECE</x:v>
      </x:c>
      <x:c r="D16">
        <x:v>7.8</x:v>
      </x:c>
      <x:c r="E16" t="str">
        <x:v>Yes</x:v>
      </x:c>
      <x:c r="F16" t="str">
        <x:v>TCS</x:v>
      </x:c>
      <x:c r="G16">
        <x:v>7.5</x:v>
      </x:c>
      <x:c r="H16" t="str">
        <x:v>On-Campus</x:v>
      </x:c>
    </x:row>
    <x:row r="17">
      <x:c r="A17" t="str">
        <x:v>S016</x:v>
      </x:c>
      <x:c r="B17" t="str">
        <x:v>Pooja Dubey</x:v>
      </x:c>
      <x:c r="C17" t="str">
        <x:v>ECE</x:v>
      </x:c>
      <x:c r="D17">
        <x:v>8.3</x:v>
      </x:c>
      <x:c r="E17" t="str">
        <x:v>Yes</x:v>
      </x:c>
      <x:c r="F17" t="str">
        <x:v>Infosys</x:v>
      </x:c>
      <x:c r="G17">
        <x:v>8</x:v>
      </x:c>
      <x:c r="H17" t="str">
        <x:v>On-Campus</x:v>
      </x:c>
    </x:row>
    <x:row r="18">
      <x:c r="A18" t="str">
        <x:v>S017</x:v>
      </x:c>
      <x:c r="B18" t="str">
        <x:v>Qasim Ansari</x:v>
      </x:c>
      <x:c r="C18" t="str">
        <x:v>ECE</x:v>
      </x:c>
      <x:c r="D18">
        <x:v>7.1</x:v>
      </x:c>
      <x:c r="E18" t="str">
        <x:v>Yes</x:v>
      </x:c>
      <x:c r="F18" t="str">
        <x:v>Wipro</x:v>
      </x:c>
      <x:c r="G18">
        <x:v>6</x:v>
      </x:c>
      <x:c r="H18" t="str">
        <x:v>On-Campus</x:v>
      </x:c>
    </x:row>
    <x:row r="19">
      <x:c r="A19" t="str">
        <x:v>S018</x:v>
      </x:c>
      <x:c r="B19" t="str">
        <x:v>Ritika Bansal</x:v>
      </x:c>
      <x:c r="C19" t="str">
        <x:v>ECE</x:v>
      </x:c>
      <x:c r="D19">
        <x:v>8.6</x:v>
      </x:c>
      <x:c r="E19" t="str">
        <x:v>Yes</x:v>
      </x:c>
      <x:c r="F19" t="str">
        <x:v>HCL</x:v>
      </x:c>
      <x:c r="G19">
        <x:v>9.5</x:v>
      </x:c>
      <x:c r="H19" t="str">
        <x:v>On-Campus</x:v>
      </x:c>
    </x:row>
    <x:row r="20">
      <x:c r="A20" t="str">
        <x:v>S019</x:v>
      </x:c>
      <x:c r="B20" t="str">
        <x:v>Siddharth Tiwari</x:v>
      </x:c>
      <x:c r="C20" t="str">
        <x:v>ECE</x:v>
      </x:c>
      <x:c r="D20">
        <x:v>6.7</x:v>
      </x:c>
      <x:c r="E20" t="str">
        <x:v>No</x:v>
      </x:c>
      <x:c r="F20" t="str">
        <x:v>—</x:v>
      </x:c>
      <x:c r="G20">
        <x:v>0</x:v>
      </x:c>
      <x:c r="H20" t="str">
        <x:v>Not Placed</x:v>
      </x:c>
    </x:row>
    <x:row r="21">
      <x:c r="A21" t="str">
        <x:v>S020</x:v>
      </x:c>
      <x:c r="B21" t="str">
        <x:v>Tanvi Bose</x:v>
      </x:c>
      <x:c r="C21" t="str">
        <x:v>ECE</x:v>
      </x:c>
      <x:c r="D21">
        <x:v>9.3</x:v>
      </x:c>
      <x:c r="E21" t="str">
        <x:v>Yes</x:v>
      </x:c>
      <x:c r="F21" t="str">
        <x:v>Texas Instruments</x:v>
      </x:c>
      <x:c r="G21">
        <x:v>22</x:v>
      </x:c>
      <x:c r="H21" t="str">
        <x:v>Off-Campus</x:v>
      </x:c>
    </x:row>
    <x:row r="22">
      <x:c r="A22" t="str">
        <x:v>S021</x:v>
      </x:c>
      <x:c r="B22" t="str">
        <x:v>Ujjwal Das</x:v>
      </x:c>
      <x:c r="C22" t="str">
        <x:v>ME</x:v>
      </x:c>
      <x:c r="D22">
        <x:v>7.4</x:v>
      </x:c>
      <x:c r="E22" t="str">
        <x:v>Yes</x:v>
      </x:c>
      <x:c r="F22" t="str">
        <x:v>Tata Motors</x:v>
      </x:c>
      <x:c r="G22">
        <x:v>6</x:v>
      </x:c>
      <x:c r="H22" t="str">
        <x:v>On-Campus</x:v>
      </x:c>
    </x:row>
    <x:row r="23">
      <x:c r="A23" t="str">
        <x:v>S022</x:v>
      </x:c>
      <x:c r="B23" t="str">
        <x:v>Vandana Mishra</x:v>
      </x:c>
      <x:c r="C23" t="str">
        <x:v>ME</x:v>
      </x:c>
      <x:c r="D23">
        <x:v>8</x:v>
      </x:c>
      <x:c r="E23" t="str">
        <x:v>Yes</x:v>
      </x:c>
      <x:c r="F23" t="str">
        <x:v>L&amp;T</x:v>
      </x:c>
      <x:c r="G23">
        <x:v>8.5</x:v>
      </x:c>
      <x:c r="H23" t="str">
        <x:v>On-Campus</x:v>
      </x:c>
    </x:row>
    <x:row r="24">
      <x:c r="A24" t="str">
        <x:v>S023</x:v>
      </x:c>
      <x:c r="B24" t="str">
        <x:v>Waqar Ahmed</x:v>
      </x:c>
      <x:c r="C24" t="str">
        <x:v>ME</x:v>
      </x:c>
      <x:c r="D24">
        <x:v>6.6</x:v>
      </x:c>
      <x:c r="E24" t="str">
        <x:v>No</x:v>
      </x:c>
      <x:c r="F24" t="str">
        <x:v>—</x:v>
      </x:c>
      <x:c r="G24">
        <x:v>0</x:v>
      </x:c>
      <x:c r="H24" t="str">
        <x:v>Not Placed</x:v>
      </x:c>
    </x:row>
    <x:row r="25">
      <x:c r="A25" t="str">
        <x:v>S024</x:v>
      </x:c>
      <x:c r="B25" t="str">
        <x:v>Xena Thomas</x:v>
      </x:c>
      <x:c r="C25" t="str">
        <x:v>ME</x:v>
      </x:c>
      <x:c r="D25">
        <x:v>7.9</x:v>
      </x:c>
      <x:c r="E25" t="str">
        <x:v>Yes</x:v>
      </x:c>
      <x:c r="F25" t="str">
        <x:v>Mahindra</x:v>
      </x:c>
      <x:c r="G25">
        <x:v>7</x:v>
      </x:c>
      <x:c r="H25" t="str">
        <x:v>On-Campus</x:v>
      </x:c>
    </x:row>
    <x:row r="26">
      <x:c r="A26" t="str">
        <x:v>S025</x:v>
      </x:c>
      <x:c r="B26" t="str">
        <x:v>Yash Choudhary</x:v>
      </x:c>
      <x:c r="C26" t="str">
        <x:v>ME</x:v>
      </x:c>
      <x:c r="D26">
        <x:v>8.4</x:v>
      </x:c>
      <x:c r="E26" t="str">
        <x:v>Yes</x:v>
      </x:c>
      <x:c r="F26" t="str">
        <x:v>Bosch</x:v>
      </x:c>
      <x:c r="G26">
        <x:v>10</x:v>
      </x:c>
      <x:c r="H26" t="str">
        <x:v>Off-Campus</x:v>
      </x:c>
    </x:row>
    <x:row r="27">
      <x:c r="A27" t="str">
        <x:v>S026</x:v>
      </x:c>
      <x:c r="B27" t="str">
        <x:v>Zara Sheikh</x:v>
      </x:c>
      <x:c r="C27" t="str">
        <x:v>ME</x:v>
      </x:c>
      <x:c r="D27">
        <x:v>6.3</x:v>
      </x:c>
      <x:c r="E27" t="str">
        <x:v>No</x:v>
      </x:c>
      <x:c r="F27" t="str">
        <x:v>—</x:v>
      </x:c>
      <x:c r="G27">
        <x:v>0</x:v>
      </x:c>
      <x:c r="H27" t="str">
        <x:v>Not Placed</x:v>
      </x:c>
    </x:row>
    <x:row r="28">
      <x:c r="A28" t="str">
        <x:v>S027</x:v>
      </x:c>
      <x:c r="B28" t="str">
        <x:v>Aditya Pillai</x:v>
      </x:c>
      <x:c r="C28" t="str">
        <x:v>ME</x:v>
      </x:c>
      <x:c r="D28">
        <x:v>7.7</x:v>
      </x:c>
      <x:c r="E28" t="str">
        <x:v>Yes</x:v>
      </x:c>
      <x:c r="F28" t="str">
        <x:v>BHEL</x:v>
      </x:c>
      <x:c r="G28">
        <x:v>5.5</x:v>
      </x:c>
      <x:c r="H28" t="str">
        <x:v>On-Campus</x:v>
      </x:c>
    </x:row>
    <x:row r="29">
      <x:c r="A29" t="str">
        <x:v>S028</x:v>
      </x:c>
      <x:c r="B29" t="str">
        <x:v>Bhoomika Reddy</x:v>
      </x:c>
      <x:c r="C29" t="str">
        <x:v>ME</x:v>
      </x:c>
      <x:c r="D29">
        <x:v>8.2</x:v>
      </x:c>
      <x:c r="E29" t="str">
        <x:v>Yes</x:v>
      </x:c>
      <x:c r="F29" t="str">
        <x:v>Siemens</x:v>
      </x:c>
      <x:c r="G29">
        <x:v>11</x:v>
      </x:c>
      <x:c r="H29" t="str">
        <x:v>Off-Campus</x:v>
      </x:c>
    </x:row>
    <x:row r="30">
      <x:c r="A30" t="str">
        <x:v>S029</x:v>
      </x:c>
      <x:c r="B30" t="str">
        <x:v>Chirag Jain</x:v>
      </x:c>
      <x:c r="C30" t="str">
        <x:v>ME</x:v>
      </x:c>
      <x:c r="D30">
        <x:v>7</x:v>
      </x:c>
      <x:c r="E30" t="str">
        <x:v>Yes</x:v>
      </x:c>
      <x:c r="F30" t="str">
        <x:v>Maruti</x:v>
      </x:c>
      <x:c r="G30">
        <x:v>6.5</x:v>
      </x:c>
      <x:c r="H30" t="str">
        <x:v>On-Campus</x:v>
      </x:c>
    </x:row>
    <x:row r="31">
      <x:c r="A31" t="str">
        <x:v>S030</x:v>
      </x:c>
      <x:c r="B31" t="str">
        <x:v>Deepika Sethi</x:v>
      </x:c>
      <x:c r="C31" t="str">
        <x:v>ME</x:v>
      </x:c>
      <x:c r="D31">
        <x:v>9</x:v>
      </x:c>
      <x:c r="E31" t="str">
        <x:v>Yes</x:v>
      </x:c>
      <x:c r="F31" t="str">
        <x:v>ABB</x:v>
      </x:c>
      <x:c r="G31">
        <x:v>13</x:v>
      </x:c>
      <x:c r="H31" t="str">
        <x:v>Off-Campus</x:v>
      </x:c>
    </x:row>
    <x:row r="32">
      <x:c r="A32" t="str">
        <x:v>S031</x:v>
      </x:c>
      <x:c r="B32" t="str">
        <x:v>Ekta Nanda</x:v>
      </x:c>
      <x:c r="C32" t="str">
        <x:v>CE</x:v>
      </x:c>
      <x:c r="D32">
        <x:v>7.5</x:v>
      </x:c>
      <x:c r="E32" t="str">
        <x:v>Yes</x:v>
      </x:c>
      <x:c r="F32" t="str">
        <x:v>L&amp;T Construction</x:v>
      </x:c>
      <x:c r="G32">
        <x:v>7</x:v>
      </x:c>
      <x:c r="H32" t="str">
        <x:v>On-Campus</x:v>
      </x:c>
    </x:row>
    <x:row r="33">
      <x:c r="A33" t="str">
        <x:v>S032</x:v>
      </x:c>
      <x:c r="B33" t="str">
        <x:v>Faiz Mohammad</x:v>
      </x:c>
      <x:c r="C33" t="str">
        <x:v>CE</x:v>
      </x:c>
      <x:c r="D33">
        <x:v>8.1</x:v>
      </x:c>
      <x:c r="E33" t="str">
        <x:v>Yes</x:v>
      </x:c>
      <x:c r="F33" t="str">
        <x:v>Afcons</x:v>
      </x:c>
      <x:c r="G33">
        <x:v>8</x:v>
      </x:c>
      <x:c r="H33" t="str">
        <x:v>On-Campus</x:v>
      </x:c>
    </x:row>
    <x:row r="34">
      <x:c r="A34" t="str">
        <x:v>S033</x:v>
      </x:c>
      <x:c r="B34" t="str">
        <x:v>Garima Tripathi</x:v>
      </x:c>
      <x:c r="C34" t="str">
        <x:v>CE</x:v>
      </x:c>
      <x:c r="D34">
        <x:v>6.4</x:v>
      </x:c>
      <x:c r="E34" t="str">
        <x:v>No</x:v>
      </x:c>
      <x:c r="F34" t="str">
        <x:v>—</x:v>
      </x:c>
      <x:c r="G34">
        <x:v>0</x:v>
      </x:c>
      <x:c r="H34" t="str">
        <x:v>Not Placed</x:v>
      </x:c>
    </x:row>
    <x:row r="35">
      <x:c r="A35" t="str">
        <x:v>S034</x:v>
      </x:c>
      <x:c r="B35" t="str">
        <x:v>Himanshu Yadav</x:v>
      </x:c>
      <x:c r="C35" t="str">
        <x:v>CE</x:v>
      </x:c>
      <x:c r="D35">
        <x:v>7.8</x:v>
      </x:c>
      <x:c r="E35" t="str">
        <x:v>Yes</x:v>
      </x:c>
      <x:c r="F35" t="str">
        <x:v>Gammon India</x:v>
      </x:c>
      <x:c r="G35">
        <x:v>7.5</x:v>
      </x:c>
      <x:c r="H35" t="str">
        <x:v>On-Campus</x:v>
      </x:c>
    </x:row>
    <x:row r="36">
      <x:c r="A36" t="str">
        <x:v>S035</x:v>
      </x:c>
      <x:c r="B36" t="str">
        <x:v>Isha Kapoor</x:v>
      </x:c>
      <x:c r="C36" t="str">
        <x:v>CE</x:v>
      </x:c>
      <x:c r="D36">
        <x:v>8.5</x:v>
      </x:c>
      <x:c r="E36" t="str">
        <x:v>Yes</x:v>
      </x:c>
      <x:c r="F36" t="str">
        <x:v>NCC Ltd</x:v>
      </x:c>
      <x:c r="G36">
        <x:v>9</x:v>
      </x:c>
      <x:c r="H36" t="str">
        <x:v>On-Campus</x:v>
      </x:c>
    </x:row>
    <x:row r="37">
      <x:c r="A37" t="str">
        <x:v>S036</x:v>
      </x:c>
      <x:c r="B37" t="str">
        <x:v>Jagdish Bhatt</x:v>
      </x:c>
      <x:c r="C37" t="str">
        <x:v>CE</x:v>
      </x:c>
      <x:c r="D37">
        <x:v>6.9</x:v>
      </x:c>
      <x:c r="E37" t="str">
        <x:v>No</x:v>
      </x:c>
      <x:c r="F37" t="str">
        <x:v>—</x:v>
      </x:c>
      <x:c r="G37">
        <x:v>0</x:v>
      </x:c>
      <x:c r="H37" t="str">
        <x:v>Not Placed</x:v>
      </x:c>
    </x:row>
    <x:row r="38">
      <x:c r="A38" t="str">
        <x:v>S037</x:v>
      </x:c>
      <x:c r="B38" t="str">
        <x:v>Kavita Arora</x:v>
      </x:c>
      <x:c r="C38" t="str">
        <x:v>CE</x:v>
      </x:c>
      <x:c r="D38">
        <x:v>7.2</x:v>
      </x:c>
      <x:c r="E38" t="str">
        <x:v>Yes</x:v>
      </x:c>
      <x:c r="F38" t="str">
        <x:v>Shapoorji</x:v>
      </x:c>
      <x:c r="G38">
        <x:v>6.5</x:v>
      </x:c>
      <x:c r="H38" t="str">
        <x:v>On-Campus</x:v>
      </x:c>
    </x:row>
    <x:row r="39">
      <x:c r="A39" t="str">
        <x:v>S038</x:v>
      </x:c>
      <x:c r="B39" t="str">
        <x:v>Lalit Mohan</x:v>
      </x:c>
      <x:c r="C39" t="str">
        <x:v>CE</x:v>
      </x:c>
      <x:c r="D39">
        <x:v>8.7</x:v>
      </x:c>
      <x:c r="E39" t="str">
        <x:v>Yes</x:v>
      </x:c>
      <x:c r="F39" t="str">
        <x:v>Godrej</x:v>
      </x:c>
      <x:c r="G39">
        <x:v>10.5</x:v>
      </x:c>
      <x:c r="H39" t="str">
        <x:v>Off-Campus</x:v>
      </x:c>
    </x:row>
    <x:row r="40">
      <x:c r="A40" t="str">
        <x:v>S039</x:v>
      </x:c>
      <x:c r="B40" t="str">
        <x:v>Meera Pillai</x:v>
      </x:c>
      <x:c r="C40" t="str">
        <x:v>CE</x:v>
      </x:c>
      <x:c r="D40">
        <x:v>7.6</x:v>
      </x:c>
      <x:c r="E40" t="str">
        <x:v>Yes</x:v>
      </x:c>
      <x:c r="F40" t="str">
        <x:v>AECOM</x:v>
      </x:c>
      <x:c r="G40">
        <x:v>9</x:v>
      </x:c>
      <x:c r="H40" t="str">
        <x:v>Off-Campus</x:v>
      </x:c>
    </x:row>
    <x:row r="41">
      <x:c r="A41" t="str">
        <x:v>S040</x:v>
      </x:c>
      <x:c r="B41" t="str">
        <x:v>Nikhil Saxena</x:v>
      </x:c>
      <x:c r="C41" t="str">
        <x:v>CE</x:v>
      </x:c>
      <x:c r="D41">
        <x:v>9.2</x:v>
      </x:c>
      <x:c r="E41" t="str">
        <x:v>Yes</x:v>
      </x:c>
      <x:c r="F41" t="str">
        <x:v>Larsen</x:v>
      </x:c>
      <x:c r="G41">
        <x:v>15</x:v>
      </x:c>
      <x:c r="H41" t="str">
        <x:v>Off-Campus</x:v>
      </x:c>
    </x:row>
    <x:row r="42">
      <x:c r="A42" t="str">
        <x:v>S041</x:v>
      </x:c>
      <x:c r="B42" t="str">
        <x:v>Omkar Desai</x:v>
      </x:c>
      <x:c r="C42" t="str">
        <x:v>EE</x:v>
      </x:c>
      <x:c r="D42">
        <x:v>7.3</x:v>
      </x:c>
      <x:c r="E42" t="str">
        <x:v>Yes</x:v>
      </x:c>
      <x:c r="F42" t="str">
        <x:v>NTPC</x:v>
      </x:c>
      <x:c r="G42">
        <x:v>8</x:v>
      </x:c>
      <x:c r="H42" t="str">
        <x:v>On-Campus</x:v>
      </x:c>
    </x:row>
    <x:row r="43">
      <x:c r="A43" t="str">
        <x:v>S042</x:v>
      </x:c>
      <x:c r="B43" t="str">
        <x:v>Pallavi Ghosh</x:v>
      </x:c>
      <x:c r="C43" t="str">
        <x:v>EE</x:v>
      </x:c>
      <x:c r="D43">
        <x:v>8.4</x:v>
      </x:c>
      <x:c r="E43" t="str">
        <x:v>Yes</x:v>
      </x:c>
      <x:c r="F43" t="str">
        <x:v>BHEL</x:v>
      </x:c>
      <x:c r="G43">
        <x:v>9.5</x:v>
      </x:c>
      <x:c r="H43" t="str">
        <x:v>On-Campus</x:v>
      </x:c>
    </x:row>
    <x:row r="44">
      <x:c r="A44" t="str">
        <x:v>S043</x:v>
      </x:c>
      <x:c r="B44" t="str">
        <x:v>Rahul Tomar</x:v>
      </x:c>
      <x:c r="C44" t="str">
        <x:v>EE</x:v>
      </x:c>
      <x:c r="D44">
        <x:v>6.5</x:v>
      </x:c>
      <x:c r="E44" t="str">
        <x:v>No</x:v>
      </x:c>
      <x:c r="F44" t="str">
        <x:v>—</x:v>
      </x:c>
      <x:c r="G44">
        <x:v>0</x:v>
      </x:c>
      <x:c r="H44" t="str">
        <x:v>Not Placed</x:v>
      </x:c>
    </x:row>
    <x:row r="45">
      <x:c r="A45" t="str">
        <x:v>S044</x:v>
      </x:c>
      <x:c r="B45" t="str">
        <x:v>Shreya Kulkarni</x:v>
      </x:c>
      <x:c r="C45" t="str">
        <x:v>EE</x:v>
      </x:c>
      <x:c r="D45">
        <x:v>9</x:v>
      </x:c>
      <x:c r="E45" t="str">
        <x:v>Yes</x:v>
      </x:c>
      <x:c r="F45" t="str">
        <x:v>Siemens</x:v>
      </x:c>
      <x:c r="G45">
        <x:v>12</x:v>
      </x:c>
      <x:c r="H45" t="str">
        <x:v>Off-Campus</x:v>
      </x:c>
    </x:row>
    <x:row r="46">
      <x:c r="A46" t="str">
        <x:v>S045</x:v>
      </x:c>
      <x:c r="B46" t="str">
        <x:v>Tarun Bajaj</x:v>
      </x:c>
      <x:c r="C46" t="str">
        <x:v>EE</x:v>
      </x:c>
      <x:c r="D46">
        <x:v>7.6</x:v>
      </x:c>
      <x:c r="E46" t="str">
        <x:v>Yes</x:v>
      </x:c>
      <x:c r="F46" t="str">
        <x:v>ABB</x:v>
      </x:c>
      <x:c r="G46">
        <x:v>9</x:v>
      </x:c>
      <x:c r="H46" t="str">
        <x:v>On-Campus</x:v>
      </x:c>
    </x:row>
    <x:row r="47">
      <x:c r="A47" t="str">
        <x:v>S046</x:v>
      </x:c>
      <x:c r="B47" t="str">
        <x:v>Uma Krishnan</x:v>
      </x:c>
      <x:c r="C47" t="str">
        <x:v>EE</x:v>
      </x:c>
      <x:c r="D47">
        <x:v>8.1</x:v>
      </x:c>
      <x:c r="E47" t="str">
        <x:v>Yes</x:v>
      </x:c>
      <x:c r="F47" t="str">
        <x:v>Schneider</x:v>
      </x:c>
      <x:c r="G47">
        <x:v>8.5</x:v>
      </x:c>
      <x:c r="H47" t="str">
        <x:v>On-Campus</x:v>
      </x:c>
    </x:row>
    <x:row r="48">
      <x:c r="A48" t="str">
        <x:v>S047</x:v>
      </x:c>
      <x:c r="B48" t="str">
        <x:v>Vikas Pandey</x:v>
      </x:c>
      <x:c r="C48" t="str">
        <x:v>EE</x:v>
      </x:c>
      <x:c r="D48">
        <x:v>6.8</x:v>
      </x:c>
      <x:c r="E48" t="str">
        <x:v>No</x:v>
      </x:c>
      <x:c r="F48" t="str">
        <x:v>—</x:v>
      </x:c>
      <x:c r="G48">
        <x:v>0</x:v>
      </x:c>
      <x:c r="H48" t="str">
        <x:v>Not Placed</x:v>
      </x:c>
    </x:row>
    <x:row r="49">
      <x:c r="A49" t="str">
        <x:v>S048</x:v>
      </x:c>
      <x:c r="B49" t="str">
        <x:v>Wendy Fernandez</x:v>
      </x:c>
      <x:c r="C49" t="str">
        <x:v>EE</x:v>
      </x:c>
      <x:c r="D49">
        <x:v>7.9</x:v>
      </x:c>
      <x:c r="E49" t="str">
        <x:v>Yes</x:v>
      </x:c>
      <x:c r="F49" t="str">
        <x:v>POWERGRID</x:v>
      </x:c>
      <x:c r="G49">
        <x:v>10</x:v>
      </x:c>
      <x:c r="H49" t="str">
        <x:v>On-Campus</x:v>
      </x:c>
    </x:row>
    <x:row r="50">
      <x:c r="A50" t="str">
        <x:v>S049</x:v>
      </x:c>
      <x:c r="B50" t="str">
        <x:v>Xavier Menezes</x:v>
      </x:c>
      <x:c r="C50" t="str">
        <x:v>EE</x:v>
      </x:c>
      <x:c r="D50">
        <x:v>8.6</x:v>
      </x:c>
      <x:c r="E50" t="str">
        <x:v>Yes</x:v>
      </x:c>
      <x:c r="F50" t="str">
        <x:v>Tata Power</x:v>
      </x:c>
      <x:c r="G50">
        <x:v>11.5</x:v>
      </x:c>
      <x:c r="H50" t="str">
        <x:v>Off-Campus</x:v>
      </x:c>
    </x:row>
    <x:row r="51">
      <x:c r="A51" t="str">
        <x:v>S050</x:v>
      </x:c>
      <x:c r="B51" t="str">
        <x:v>Yasmin Shaikh</x:v>
      </x:c>
      <x:c r="C51" t="str">
        <x:v>EE</x:v>
      </x:c>
      <x:c r="D51">
        <x:v>9.4</x:v>
      </x:c>
      <x:c r="E51" t="str">
        <x:v>Yes</x:v>
      </x:c>
      <x:c r="F51" t="str">
        <x:v>GE</x:v>
      </x:c>
      <x:c r="G51">
        <x:v>20</x:v>
      </x:c>
      <x:c r="H51" t="str">
        <x:v>Off-Campus</x:v>
      </x:c>
    </x:row>
    <x:row r="52">
      <x:c r="A52" t="str">
        <x:v>S051</x:v>
      </x:c>
      <x:c r="B52" t="str">
        <x:v>Akash Agarwal</x:v>
      </x:c>
      <x:c r="C52" t="str">
        <x:v>IT</x:v>
      </x:c>
      <x:c r="D52">
        <x:v>9.1</x:v>
      </x:c>
      <x:c r="E52" t="str">
        <x:v>Yes</x:v>
      </x:c>
      <x:c r="F52" t="str">
        <x:v>Flipkart</x:v>
      </x:c>
      <x:c r="G52">
        <x:v>28</x:v>
      </x:c>
      <x:c r="H52" t="str">
        <x:v>Off-Campus</x:v>
      </x:c>
    </x:row>
    <x:row r="53">
      <x:c r="A53" t="str">
        <x:v>S052</x:v>
      </x:c>
      <x:c r="B53" t="str">
        <x:v>Bindu Nayak</x:v>
      </x:c>
      <x:c r="C53" t="str">
        <x:v>IT</x:v>
      </x:c>
      <x:c r="D53">
        <x:v>7.8</x:v>
      </x:c>
      <x:c r="E53" t="str">
        <x:v>Yes</x:v>
      </x:c>
      <x:c r="F53" t="str">
        <x:v>Infosys</x:v>
      </x:c>
      <x:c r="G53">
        <x:v>8</x:v>
      </x:c>
      <x:c r="H53" t="str">
        <x:v>On-Campus</x:v>
      </x:c>
    </x:row>
    <x:row r="54">
      <x:c r="A54" t="str">
        <x:v>S053</x:v>
      </x:c>
      <x:c r="B54" t="str">
        <x:v>Chandni Roy</x:v>
      </x:c>
      <x:c r="C54" t="str">
        <x:v>IT</x:v>
      </x:c>
      <x:c r="D54">
        <x:v>8.3</x:v>
      </x:c>
      <x:c r="E54" t="str">
        <x:v>Yes</x:v>
      </x:c>
      <x:c r="F54" t="str">
        <x:v>Wipro</x:v>
      </x:c>
      <x:c r="G54">
        <x:v>7.5</x:v>
      </x:c>
      <x:c r="H54" t="str">
        <x:v>On-Campus</x:v>
      </x:c>
    </x:row>
    <x:row r="55">
      <x:c r="A55" t="str">
        <x:v>S054</x:v>
      </x:c>
      <x:c r="B55" t="str">
        <x:v>Dhruv Mehra</x:v>
      </x:c>
      <x:c r="C55" t="str">
        <x:v>IT</x:v>
      </x:c>
      <x:c r="D55">
        <x:v>6.7</x:v>
      </x:c>
      <x:c r="E55" t="str">
        <x:v>No</x:v>
      </x:c>
      <x:c r="F55" t="str">
        <x:v>—</x:v>
      </x:c>
      <x:c r="G55">
        <x:v>0</x:v>
      </x:c>
      <x:c r="H55" t="str">
        <x:v>Not Placed</x:v>
      </x:c>
    </x:row>
    <x:row r="56">
      <x:c r="A56" t="str">
        <x:v>S055</x:v>
      </x:c>
      <x:c r="B56" t="str">
        <x:v>Esha Rawat</x:v>
      </x:c>
      <x:c r="C56" t="str">
        <x:v>IT</x:v>
      </x:c>
      <x:c r="D56">
        <x:v>9.3</x:v>
      </x:c>
      <x:c r="E56" t="str">
        <x:v>Yes</x:v>
      </x:c>
      <x:c r="F56" t="str">
        <x:v>Myntra</x:v>
      </x:c>
      <x:c r="G56">
        <x:v>22</x:v>
      </x:c>
      <x:c r="H56" t="str">
        <x:v>Off-Campus</x:v>
      </x:c>
    </x:row>
    <x:row r="57">
      <x:c r="A57" t="str">
        <x:v>S056</x:v>
      </x:c>
      <x:c r="B57" t="str">
        <x:v>Firoz Shaikh</x:v>
      </x:c>
      <x:c r="C57" t="str">
        <x:v>IT</x:v>
      </x:c>
      <x:c r="D57">
        <x:v>7.5</x:v>
      </x:c>
      <x:c r="E57" t="str">
        <x:v>Yes</x:v>
      </x:c>
      <x:c r="F57" t="str">
        <x:v>TCS</x:v>
      </x:c>
      <x:c r="G57">
        <x:v>6.5</x:v>
      </x:c>
      <x:c r="H57" t="str">
        <x:v>On-Campus</x:v>
      </x:c>
    </x:row>
    <x:row r="58">
      <x:c r="A58" t="str">
        <x:v>S057</x:v>
      </x:c>
      <x:c r="B58" t="str">
        <x:v>Gargi Chattopadhyay</x:v>
      </x:c>
      <x:c r="C58" t="str">
        <x:v>IT</x:v>
      </x:c>
      <x:c r="D58">
        <x:v>8</x:v>
      </x:c>
      <x:c r="E58" t="str">
        <x:v>Yes</x:v>
      </x:c>
      <x:c r="F58" t="str">
        <x:v>Accenture</x:v>
      </x:c>
      <x:c r="G58">
        <x:v>8</x:v>
      </x:c>
      <x:c r="H58" t="str">
        <x:v>On-Campus</x:v>
      </x:c>
    </x:row>
    <x:row r="59">
      <x:c r="A59" t="str">
        <x:v>S058</x:v>
      </x:c>
      <x:c r="B59" t="str">
        <x:v>Harshit Sharma</x:v>
      </x:c>
      <x:c r="C59" t="str">
        <x:v>IT</x:v>
      </x:c>
      <x:c r="D59">
        <x:v>8.8</x:v>
      </x:c>
      <x:c r="E59" t="str">
        <x:v>Yes</x:v>
      </x:c>
      <x:c r="F59" t="str">
        <x:v>Zomato</x:v>
      </x:c>
      <x:c r="G59">
        <x:v>18</x:v>
      </x:c>
      <x:c r="H59" t="str">
        <x:v>Off-Campus</x:v>
      </x:c>
    </x:row>
    <x:row r="60">
      <x:c r="A60" t="str">
        <x:v>S059</x:v>
      </x:c>
      <x:c r="B60" t="str">
        <x:v>Iqra Hussain</x:v>
      </x:c>
      <x:c r="C60" t="str">
        <x:v>IT</x:v>
      </x:c>
      <x:c r="D60">
        <x:v>7.2</x:v>
      </x:c>
      <x:c r="E60" t="str">
        <x:v>Yes</x:v>
      </x:c>
      <x:c r="F60" t="str">
        <x:v>Cognizant</x:v>
      </x:c>
      <x:c r="G60">
        <x:v>6</x:v>
      </x:c>
      <x:c r="H60" t="str">
        <x:v>On-Campus</x:v>
      </x:c>
    </x:row>
    <x:row r="61">
      <x:c r="A61" t="str">
        <x:v>S060</x:v>
      </x:c>
      <x:c r="B61" t="str">
        <x:v>Janak Patel</x:v>
      </x:c>
      <x:c r="C61" t="str">
        <x:v>IT</x:v>
      </x:c>
      <x:c r="D61">
        <x:v>6.9</x:v>
      </x:c>
      <x:c r="E61" t="str">
        <x:v>No</x:v>
      </x:c>
      <x:c r="F61" t="str">
        <x:v>—</x:v>
      </x:c>
      <x:c r="G61">
        <x:v>0</x:v>
      </x:c>
      <x:c r="H61" t="str">
        <x:v>Not Placed</x:v>
      </x:c>
    </x:row>
    <x:row r="62">
      <x:c r="A62" s="2" t="str">
        <x:v>TOTAL / SUMMARY</x:v>
      </x:c>
      <x:c r="C62" s="2" t="str">
        <x:v>All 6</x:v>
      </x:c>
      <x:c r="E62" s="2" t="str">
        <x:f>COUNTIF(E2:E61,"Yes")&amp;" placed / "&amp;COUNTA(E2:E61)&amp;" total"</x:f>
        <x:v>48 placed / 60 total</x:v>
      </x:c>
      <x:c r="G62" s="3">
        <x:f>AVERAGEIF(E2:E61,"Yes",G2:G61)</x:f>
        <x:v>12.1354166666667</x:v>
      </x:c>
    </x:row>
  </x:sheetData>
</x:worksheet>
</file>

<file path=xl/worksheets/sheet3.xml><?xml version="1.0" encoding="utf-8"?>
<x:worksheet xmlns:x="http://schemas.openxmlformats.org/spreadsheetml/2006/main">
  <x:cols>
    <x:col min="1" max="1" width="10" customWidth="1"/>
    <x:col min="2" max="2" width="16" customWidth="1"/>
    <x:col min="3" max="3" width="16" customWidth="1"/>
    <x:col min="4" max="4" width="18" customWidth="1"/>
    <x:col min="5" max="5" width="18" customWidth="1"/>
    <x:col min="6" max="6" width="18" customWidth="1"/>
  </x:cols>
  <x:sheetData>
    <x:row r="1">
      <x:c r="A1" s="1" t="str">
        <x:v>Branch</x:v>
      </x:c>
      <x:c r="B1" s="1" t="str">
        <x:v>Total Students</x:v>
      </x:c>
      <x:c r="C1" s="1" t="str">
        <x:v>Placed</x:v>
      </x:c>
      <x:c r="D1" s="1" t="str">
        <x:v>Placement Rate (%)</x:v>
      </x:c>
      <x:c r="E1" s="1" t="str">
        <x:v>Avg Package (LPA)</x:v>
      </x:c>
      <x:c r="F1" s="1" t="str">
        <x:v>Highest Package (LPA)</x:v>
      </x:c>
    </x:row>
    <x:row r="2">
      <x:c r="A2" t="str">
        <x:v>CE</x:v>
      </x:c>
      <x:c r="B2">
        <x:v>10</x:v>
      </x:c>
      <x:c r="C2">
        <x:v>8</x:v>
      </x:c>
      <x:c r="D2" s="4">
        <x:v>80</x:v>
      </x:c>
      <x:c r="E2" s="5">
        <x:v>9.06</x:v>
      </x:c>
      <x:c r="F2">
        <x:v>15</x:v>
      </x:c>
    </x:row>
    <x:row r="3">
      <x:c r="A3" t="str">
        <x:v>CSE</x:v>
      </x:c>
      <x:c r="B3">
        <x:v>10</x:v>
      </x:c>
      <x:c r="C3">
        <x:v>8</x:v>
      </x:c>
      <x:c r="D3" s="4">
        <x:v>80</x:v>
      </x:c>
      <x:c r="E3" s="5">
        <x:v>19.38</x:v>
      </x:c>
      <x:c r="F3">
        <x:v>45</x:v>
      </x:c>
    </x:row>
    <x:row r="4">
      <x:c r="A4" t="str">
        <x:v>ECE</x:v>
      </x:c>
      <x:c r="B4">
        <x:v>10</x:v>
      </x:c>
      <x:c r="C4">
        <x:v>8</x:v>
      </x:c>
      <x:c r="D4" s="4">
        <x:v>80</x:v>
      </x:c>
      <x:c r="E4" s="5">
        <x:v>11.88</x:v>
      </x:c>
      <x:c r="F4">
        <x:v>22</x:v>
      </x:c>
    </x:row>
    <x:row r="5">
      <x:c r="A5" t="str">
        <x:v>EE</x:v>
      </x:c>
      <x:c r="B5">
        <x:v>10</x:v>
      </x:c>
      <x:c r="C5">
        <x:v>8</x:v>
      </x:c>
      <x:c r="D5" s="4">
        <x:v>80</x:v>
      </x:c>
      <x:c r="E5" s="5">
        <x:v>11.06</x:v>
      </x:c>
      <x:c r="F5">
        <x:v>20</x:v>
      </x:c>
    </x:row>
    <x:row r="6">
      <x:c r="A6" t="str">
        <x:v>IT</x:v>
      </x:c>
      <x:c r="B6">
        <x:v>10</x:v>
      </x:c>
      <x:c r="C6">
        <x:v>8</x:v>
      </x:c>
      <x:c r="D6" s="4">
        <x:v>80</x:v>
      </x:c>
      <x:c r="E6" s="5">
        <x:v>13</x:v>
      </x:c>
      <x:c r="F6">
        <x:v>28</x:v>
      </x:c>
    </x:row>
    <x:row r="7">
      <x:c r="A7" t="str">
        <x:v>ME</x:v>
      </x:c>
      <x:c r="B7">
        <x:v>10</x:v>
      </x:c>
      <x:c r="C7">
        <x:v>8</x:v>
      </x:c>
      <x:c r="D7" s="4">
        <x:v>80</x:v>
      </x:c>
      <x:c r="E7" s="5">
        <x:v>8.44</x:v>
      </x:c>
      <x:c r="F7">
        <x:v>13</x:v>
      </x:c>
    </x:row>
    <x:row r="8">
      <x:c r="A8" s="2" t="str">
        <x:v>TOTAL</x:v>
      </x:c>
      <x:c r="B8" s="2">
        <x:f>SUM(B2:B7)</x:f>
        <x:v>60</x:v>
      </x:c>
      <x:c r="C8" s="2">
        <x:f>SUM(C2:C7)</x:f>
        <x:v>48</x:v>
      </x:c>
      <x:c r="D8" s="6">
        <x:f>AVERAGE(D2:D7)</x:f>
        <x:v>80</x:v>
      </x:c>
      <x:c r="E8" s="3">
        <x:f>AVERAGE(E2:E7)</x:f>
        <x:v>12.1366666666667</x:v>
      </x:c>
      <x:c r="F8" s="2">
        <x:f>MAX(F2:F7)</x:f>
        <x:v>45</x:v>
      </x:c>
    </x:row>
  </x:sheetData>
</x:worksheet>
</file>

<file path=xl/worksheets/sheet4.xml><?xml version="1.0" encoding="utf-8"?>
<x:worksheet xmlns:x="http://schemas.openxmlformats.org/spreadsheetml/2006/main">
  <x:cols>
    <x:col min="1" max="1" width="28" customWidth="1"/>
    <x:col min="2" max="2" width="16" customWidth="1"/>
  </x:cols>
  <x:sheetData>
    <x:row r="1">
      <x:c r="A1" s="1" t="str">
        <x:v>Company</x:v>
      </x:c>
      <x:c r="B1" s="1" t="str">
        <x:v>Students Hired</x:v>
      </x:c>
    </x:row>
    <x:row r="2">
      <x:c r="A2" t="str">
        <x:v>TCS</x:v>
      </x:c>
      <x:c r="B2">
        <x:v>3</x:v>
      </x:c>
    </x:row>
    <x:row r="3">
      <x:c r="A3" t="str">
        <x:v>Infosys</x:v>
      </x:c>
      <x:c r="B3">
        <x:v>3</x:v>
      </x:c>
    </x:row>
    <x:row r="4">
      <x:c r="A4" t="str">
        <x:v>Wipro</x:v>
      </x:c>
      <x:c r="B4">
        <x:v>3</x:v>
      </x:c>
    </x:row>
    <x:row r="5">
      <x:c r="A5" t="str">
        <x:v>Accenture</x:v>
      </x:c>
      <x:c r="B5">
        <x:v>2</x:v>
      </x:c>
    </x:row>
    <x:row r="6">
      <x:c r="A6" t="str">
        <x:v>Cognizant</x:v>
      </x:c>
      <x:c r="B6">
        <x:v>2</x:v>
      </x:c>
    </x:row>
    <x:row r="7">
      <x:c r="A7" t="str">
        <x:v>BHEL</x:v>
      </x:c>
      <x:c r="B7">
        <x:v>2</x:v>
      </x:c>
    </x:row>
    <x:row r="8">
      <x:c r="A8" t="str">
        <x:v>Siemens</x:v>
      </x:c>
      <x:c r="B8">
        <x:v>2</x:v>
      </x:c>
    </x:row>
    <x:row r="9">
      <x:c r="A9" t="str">
        <x:v>ABB</x:v>
      </x:c>
      <x:c r="B9">
        <x:v>2</x:v>
      </x:c>
    </x:row>
    <x:row r="10">
      <x:c r="A10" t="str">
        <x:v>Google</x:v>
      </x:c>
      <x:c r="B10">
        <x:v>1</x:v>
      </x:c>
    </x:row>
    <x:row r="11">
      <x:c r="A11" t="str">
        <x:v>Microsoft</x:v>
      </x:c>
      <x:c r="B11">
        <x:v>1</x:v>
      </x:c>
    </x:row>
    <x:row r="12">
      <x:c r="A12" t="str">
        <x:v>Amazon</x:v>
      </x:c>
      <x:c r="B12">
        <x:v>1</x:v>
      </x:c>
    </x:row>
    <x:row r="13">
      <x:c r="A13" t="str">
        <x:v>Samsung</x:v>
      </x:c>
      <x:c r="B13">
        <x:v>1</x:v>
      </x:c>
    </x:row>
    <x:row r="14">
      <x:c r="A14" t="str">
        <x:v>Qualcomm</x:v>
      </x:c>
      <x:c r="B14">
        <x:v>1</x:v>
      </x:c>
    </x:row>
    <x:row r="15">
      <x:c r="A15" t="str">
        <x:v>Intel</x:v>
      </x:c>
      <x:c r="B15">
        <x:v>1</x:v>
      </x:c>
    </x:row>
    <x:row r="16">
      <x:c r="A16" t="str">
        <x:v>HCL</x:v>
      </x:c>
      <x:c r="B16">
        <x:v>1</x:v>
      </x:c>
    </x:row>
  </x:sheetData>
</x:worksheet>
</file>

<file path=xl/worksheets/sheet5.xml><?xml version="1.0" encoding="utf-8"?>
<x:worksheet xmlns:x="http://schemas.openxmlformats.org/spreadsheetml/2006/main">
  <x:cols>
    <x:col min="1" max="1" width="30" customWidth="1"/>
    <x:col min="2" max="2" width="20" customWidth="1"/>
  </x:cols>
  <x:sheetData>
    <x:row r="1">
      <x:c r="A1" s="1" t="str">
        <x:v>Metric</x:v>
      </x:c>
      <x:c r="B1" s="1" t="str">
        <x:v>Value</x:v>
      </x:c>
    </x:row>
    <x:row r="2">
      <x:c r="A2" t="str">
        <x:v>Total Students</x:v>
      </x:c>
      <x:c r="B2">
        <x:v>60</x:v>
      </x:c>
    </x:row>
    <x:row r="3">
      <x:c r="A3" t="str">
        <x:v>Students Placed</x:v>
      </x:c>
      <x:c r="B3">
        <x:v>48</x:v>
      </x:c>
    </x:row>
    <x:row r="4">
      <x:c r="A4" t="str">
        <x:v>Students Not Placed</x:v>
      </x:c>
      <x:c r="B4">
        <x:v>12</x:v>
      </x:c>
    </x:row>
    <x:row r="5">
      <x:c r="A5" t="str">
        <x:v>Overall Placement Rate (%)</x:v>
      </x:c>
      <x:c r="B5" s="4">
        <x:v>80</x:v>
      </x:c>
    </x:row>
    <x:row r="6">
      <x:c r="A6" t="str">
        <x:v>Average Package (LPA)</x:v>
      </x:c>
      <x:c r="B6" s="5">
        <x:v>12.14</x:v>
      </x:c>
    </x:row>
    <x:row r="7">
      <x:c r="A7" t="str">
        <x:v>Highest Package (LPA)</x:v>
      </x:c>
      <x:c r="B7">
        <x:v>45</x:v>
      </x:c>
    </x:row>
    <x:row r="8">
      <x:c r="A8" t="str">
        <x:v>Lowest Package (LPA)</x:v>
      </x:c>
      <x:c r="B8">
        <x:v>5.5</x:v>
      </x:c>
    </x:row>
    <x:row r="9">
      <x:c r="A9" t="str">
        <x:v>On-Campus Offers</x:v>
      </x:c>
      <x:c r="B9">
        <x:v>30</x:v>
      </x:c>
    </x:row>
    <x:row r="10">
      <x:c r="A10" t="str">
        <x:v>Off-Campus Offers</x:v>
      </x:c>
      <x:c r="B10">
        <x:v>18</x:v>
      </x:c>
    </x:row>
    <x:row r="11">
      <x:c r="A11" t="str">
        <x:v>Number of Branches</x:v>
      </x:c>
      <x:c r="B11">
        <x:v>6</x:v>
      </x:c>
    </x:row>
    <x:row r="12">
      <x:c r="A12" t="str">
        <x:v>Total Recruiters</x:v>
      </x:c>
      <x:c r="B12">
        <x:v>37</x:v>
      </x:c>
    </x:row>
    <x:row r="13">
      <x:c r="A13" t="str">
        <x:v>Academic Year</x:v>
      </x:c>
      <x:c r="B13" t="str">
        <x:v>2023-24</x:v>
      </x:c>
    </x:row>
    <x:row r="15">
      <x:c r="A15" s="7" t="str">
        <x:v>NOTE: SAMPLE DATA ONLY</x:v>
      </x:c>
    </x:row>
    <x:row r="16">
      <x:c r="A16" t="str">
        <x:v>Not real college placement records.</x:v>
      </x:c>
    </x:row>
  </x:sheetData>
</x:worksheet>
</file>

<file path=docProps/app.xml><?xml version="1.0" encoding="utf-8"?>
<ap:Properties xmlns:ap="http://schemas.openxmlformats.org/officeDocument/2006/extended-properties">
  <ap:Application>OfficeCLI/1.0.155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2026-10-10T09:11:32Z</dcterms:created>
  <cp:lastModifiedBy>OfficeCLI</cp:lastModifiedBy>
  <dcterms:modified xsi:type="dcterms:W3CDTF">2026-10-10T09:11:32Z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1.0.156</vt:lpwstr>
  </op:property>
  <op:property fmtid="{D5CDD505-2E9C-101B-9397-08002B2CF9AE}" pid="3" name="OfficeCLI.LastModified">
    <vt:lpwstr xmlns:vt="http://schemas.openxmlformats.org/officeDocument/2006/docPropsVTypes">2026-10-10T09:12:02Z</vt:lpwstr>
  </op:property>
</op:Properties>
</file>